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karchavan/Downloads/"/>
    </mc:Choice>
  </mc:AlternateContent>
  <xr:revisionPtr revIDLastSave="0" documentId="13_ncr:1_{5D46D00E-22B2-7D4C-80BE-0D22C32B070F}" xr6:coauthVersionLast="47" xr6:coauthVersionMax="47" xr10:uidLastSave="{00000000-0000-0000-0000-000000000000}"/>
  <bookViews>
    <workbookView xWindow="0" yWindow="0" windowWidth="33600" windowHeight="21000" activeTab="5" xr2:uid="{34513E12-EF47-5D46-9549-E87FB67ECAA4}"/>
  </bookViews>
  <sheets>
    <sheet name="Question 2" sheetId="4" r:id="rId1"/>
    <sheet name="Chart2" sheetId="11" r:id="rId2"/>
    <sheet name="Chart1" sheetId="10" r:id="rId3"/>
    <sheet name="Question 4" sheetId="6" r:id="rId4"/>
    <sheet name="Question 5" sheetId="7" r:id="rId5"/>
    <sheet name="Question 6A" sheetId="8" r:id="rId6"/>
    <sheet name="Question 6B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6" l="1"/>
  <c r="B23" i="7"/>
  <c r="C22" i="7"/>
  <c r="B9" i="7"/>
  <c r="B26" i="7"/>
  <c r="B11" i="9"/>
  <c r="B6" i="9"/>
  <c r="B17" i="9"/>
  <c r="B8" i="9"/>
  <c r="B13" i="9"/>
  <c r="B16" i="9"/>
  <c r="B24" i="8"/>
  <c r="B29" i="8"/>
  <c r="B20" i="8"/>
  <c r="B19" i="8"/>
  <c r="B10" i="8" l="1"/>
  <c r="B11" i="8" s="1"/>
  <c r="B7" i="8" l="1"/>
  <c r="B9" i="9"/>
  <c r="C8" i="9" l="1"/>
  <c r="B15" i="9"/>
  <c r="B26" i="8"/>
  <c r="B27" i="8" l="1"/>
  <c r="B31" i="8" s="1"/>
  <c r="B40" i="6"/>
  <c r="B39" i="6"/>
  <c r="B38" i="6"/>
  <c r="B37" i="6"/>
  <c r="B6" i="6"/>
  <c r="D28" i="6"/>
  <c r="D27" i="6"/>
  <c r="D26" i="6"/>
  <c r="D25" i="6"/>
  <c r="C7" i="7"/>
  <c r="F9" i="7"/>
  <c r="F15" i="7"/>
  <c r="F13" i="7"/>
  <c r="F14" i="7" s="1"/>
  <c r="B6" i="4"/>
  <c r="B12" i="7"/>
  <c r="B14" i="7" s="1"/>
  <c r="B16" i="7" s="1"/>
  <c r="B25" i="6"/>
  <c r="C25" i="6" s="1"/>
  <c r="B26" i="6"/>
  <c r="C26" i="6" s="1"/>
  <c r="B27" i="6"/>
  <c r="C27" i="6" s="1"/>
  <c r="B28" i="6"/>
  <c r="C28" i="6" s="1"/>
  <c r="C6" i="4"/>
  <c r="F18" i="7" l="1"/>
  <c r="B15" i="7"/>
  <c r="B19" i="9"/>
</calcChain>
</file>

<file path=xl/sharedStrings.xml><?xml version="1.0" encoding="utf-8"?>
<sst xmlns="http://schemas.openxmlformats.org/spreadsheetml/2006/main" count="92" uniqueCount="72">
  <si>
    <t>1/31/2022</t>
  </si>
  <si>
    <t>Total Debt</t>
  </si>
  <si>
    <t xml:space="preserve">WACC </t>
  </si>
  <si>
    <t>INT EXP</t>
  </si>
  <si>
    <t xml:space="preserve">COST OF DEBT </t>
  </si>
  <si>
    <t>INCOME TAX EXP</t>
  </si>
  <si>
    <t>INCOME BEFORE TAX</t>
  </si>
  <si>
    <t>COST OF DEBT*(1-T)</t>
  </si>
  <si>
    <t>COST OF EQUITY</t>
  </si>
  <si>
    <t>RF</t>
  </si>
  <si>
    <t>BETA</t>
  </si>
  <si>
    <t>MARKET RATE</t>
  </si>
  <si>
    <t xml:space="preserve">WEIGHT OF DEBT AND EQUITY </t>
  </si>
  <si>
    <t xml:space="preserve">TOTAL DEBT </t>
  </si>
  <si>
    <t>MARKET CAP</t>
  </si>
  <si>
    <t xml:space="preserve">TOTAL   </t>
  </si>
  <si>
    <t>WACC</t>
  </si>
  <si>
    <t>WMT</t>
  </si>
  <si>
    <t>COMPANY NAME: Walmart</t>
  </si>
  <si>
    <t>Effective Tax Rate</t>
  </si>
  <si>
    <t>TOTAL DEBT</t>
  </si>
  <si>
    <t>FV</t>
  </si>
  <si>
    <t>PV</t>
  </si>
  <si>
    <t>I/Y</t>
  </si>
  <si>
    <t xml:space="preserve">Question 2 </t>
  </si>
  <si>
    <t xml:space="preserve">Total Liabilities </t>
  </si>
  <si>
    <t xml:space="preserve">Interest Expenses </t>
  </si>
  <si>
    <t xml:space="preserve">Cost of Debt </t>
  </si>
  <si>
    <t>2019(millions)</t>
  </si>
  <si>
    <t>2018(millions)</t>
  </si>
  <si>
    <t>Question 4</t>
  </si>
  <si>
    <t>Using CAPM</t>
  </si>
  <si>
    <t>Beta</t>
  </si>
  <si>
    <t>Market Return</t>
  </si>
  <si>
    <t>Expected Return</t>
  </si>
  <si>
    <t>Risk Free(10 years)</t>
  </si>
  <si>
    <t>Question 5</t>
  </si>
  <si>
    <t>N</t>
  </si>
  <si>
    <t>Volume</t>
  </si>
  <si>
    <t>Weight of Equity</t>
  </si>
  <si>
    <t>WACC with Bonds</t>
  </si>
  <si>
    <t>Using DDM</t>
  </si>
  <si>
    <t>Price</t>
  </si>
  <si>
    <t xml:space="preserve">Volume </t>
  </si>
  <si>
    <t>Total</t>
  </si>
  <si>
    <t xml:space="preserve">EAR </t>
  </si>
  <si>
    <t>Cost of debt*(1-EAR)</t>
  </si>
  <si>
    <t>DPS</t>
  </si>
  <si>
    <t>EPS</t>
  </si>
  <si>
    <t>Growth Rate</t>
  </si>
  <si>
    <t>WACC Calculation</t>
  </si>
  <si>
    <t>Value of Debt</t>
  </si>
  <si>
    <t>Value of Equity</t>
  </si>
  <si>
    <t>Weight of Debt</t>
  </si>
  <si>
    <t>Based on Bonds</t>
  </si>
  <si>
    <t>Based on CAPM</t>
  </si>
  <si>
    <t>Total Liablilities</t>
  </si>
  <si>
    <t>Total Equity</t>
  </si>
  <si>
    <t xml:space="preserve"> $         1,39,661,000.00</t>
  </si>
  <si>
    <t>Cost of debt*(1-T)</t>
  </si>
  <si>
    <t xml:space="preserve">WACC Calculation without using Bond </t>
  </si>
  <si>
    <t>Year</t>
  </si>
  <si>
    <t>Dividend Payout Ratio for years highlighted in yellow</t>
  </si>
  <si>
    <t>Cost Of Equity</t>
  </si>
  <si>
    <t>coupon rate</t>
  </si>
  <si>
    <t>pmt</t>
  </si>
  <si>
    <t xml:space="preserve">Weight Of Debt </t>
  </si>
  <si>
    <t>Weight Of Equity</t>
  </si>
  <si>
    <t>Weight Of Debt</t>
  </si>
  <si>
    <t>Tax Rate</t>
  </si>
  <si>
    <t>Cost of Debt*(1-T)</t>
  </si>
  <si>
    <t>Risk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</si>
</sst>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$&quot;* #,##0.00_);_(&quot;$&quot;* \(#,##0.00\);_(&quot;$&quot;* &quot;-&quot;??_);_(@_)"/>
    <numFmt numFmtId="165" formatCode="0.000000%"/>
    <numFmt numFmtId="166" formatCode="_([$$-409]* #,##0.00_);_([$$-409]* \(#,##0.00\);_([$$-409]* &quot;-&quot;??_);_(@_)"/>
    <numFmt numFmtId="167" formatCode="0.0000000"/>
    <numFmt numFmtId="168" formatCode="0.000000"/>
    <numFmt numFmtId="169" formatCode="0.000000000"/>
    <numFmt numFmtId="170" formatCode="0.0000000000"/>
    <numFmt numFmtId="171" formatCode="0.000000000000"/>
    <numFmt numFmtId="172" formatCode="&quot;$&quot;#,##0.00"/>
    <numFmt numFmtId="173" formatCode="0.0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4">
    <xf numFmtId="0" fontId="0" fillId="0" borderId="0" xfId="0"/>
    <xf numFmtId="3" fontId="0" fillId="0" borderId="0" xfId="0" applyNumberFormat="1"/>
    <xf numFmtId="0" fontId="0" fillId="0" borderId="1" xfId="0" applyBorder="1"/>
    <xf numFmtId="166" fontId="0" fillId="0" borderId="2" xfId="0" applyNumberFormat="1" applyBorder="1"/>
    <xf numFmtId="167" fontId="0" fillId="0" borderId="2" xfId="0" applyNumberFormat="1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167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9" xfId="0" applyFont="1" applyBorder="1" applyAlignment="1">
      <alignment horizontal="center"/>
    </xf>
    <xf numFmtId="166" fontId="4" fillId="0" borderId="9" xfId="0" applyNumberFormat="1" applyFon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69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9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171" fontId="0" fillId="0" borderId="9" xfId="0" applyNumberFormat="1" applyBorder="1" applyAlignment="1">
      <alignment horizontal="center"/>
    </xf>
    <xf numFmtId="0" fontId="2" fillId="0" borderId="9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70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8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3" xfId="0" applyBorder="1"/>
    <xf numFmtId="166" fontId="0" fillId="0" borderId="27" xfId="0" applyNumberFormat="1" applyBorder="1"/>
    <xf numFmtId="167" fontId="0" fillId="0" borderId="27" xfId="0" applyNumberFormat="1" applyBorder="1"/>
    <xf numFmtId="168" fontId="0" fillId="0" borderId="2" xfId="0" applyNumberFormat="1" applyBorder="1"/>
    <xf numFmtId="0" fontId="0" fillId="0" borderId="2" xfId="0" applyBorder="1"/>
    <xf numFmtId="0" fontId="0" fillId="0" borderId="17" xfId="0" applyBorder="1"/>
    <xf numFmtId="168" fontId="0" fillId="0" borderId="26" xfId="0" applyNumberFormat="1" applyBorder="1"/>
    <xf numFmtId="0" fontId="0" fillId="0" borderId="27" xfId="0" applyBorder="1"/>
    <xf numFmtId="168" fontId="0" fillId="0" borderId="27" xfId="0" applyNumberFormat="1" applyBorder="1"/>
    <xf numFmtId="168" fontId="0" fillId="0" borderId="28" xfId="0" applyNumberFormat="1" applyBorder="1"/>
    <xf numFmtId="0" fontId="0" fillId="0" borderId="29" xfId="0" applyBorder="1"/>
    <xf numFmtId="165" fontId="0" fillId="0" borderId="27" xfId="0" applyNumberFormat="1" applyBorder="1"/>
    <xf numFmtId="0" fontId="0" fillId="0" borderId="32" xfId="0" applyBorder="1"/>
    <xf numFmtId="166" fontId="0" fillId="0" borderId="30" xfId="0" applyNumberFormat="1" applyBorder="1"/>
    <xf numFmtId="0" fontId="0" fillId="0" borderId="28" xfId="0" applyBorder="1"/>
    <xf numFmtId="170" fontId="0" fillId="0" borderId="2" xfId="0" applyNumberFormat="1" applyBorder="1" applyAlignment="1">
      <alignment horizontal="center"/>
    </xf>
    <xf numFmtId="170" fontId="0" fillId="0" borderId="33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3" fontId="0" fillId="0" borderId="33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67" fontId="0" fillId="2" borderId="13" xfId="0" applyNumberFormat="1" applyFill="1" applyBorder="1"/>
    <xf numFmtId="0" fontId="0" fillId="2" borderId="13" xfId="0" applyFill="1" applyBorder="1"/>
    <xf numFmtId="0" fontId="0" fillId="2" borderId="1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4" fillId="0" borderId="2" xfId="0" applyFont="1" applyBorder="1"/>
    <xf numFmtId="0" fontId="4" fillId="0" borderId="17" xfId="0" applyFont="1" applyBorder="1"/>
    <xf numFmtId="171" fontId="0" fillId="0" borderId="15" xfId="0" applyNumberFormat="1" applyBorder="1" applyAlignment="1">
      <alignment horizontal="center"/>
    </xf>
    <xf numFmtId="170" fontId="0" fillId="2" borderId="17" xfId="0" applyNumberForma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3" fontId="0" fillId="0" borderId="2" xfId="0" applyNumberFormat="1" applyBorder="1"/>
    <xf numFmtId="0" fontId="0" fillId="0" borderId="6" xfId="0" applyBorder="1"/>
    <xf numFmtId="0" fontId="0" fillId="2" borderId="8" xfId="0" applyFill="1" applyBorder="1"/>
    <xf numFmtId="0" fontId="0" fillId="2" borderId="35" xfId="0" applyFill="1" applyBorder="1"/>
    <xf numFmtId="0" fontId="0" fillId="0" borderId="4" xfId="0" applyBorder="1"/>
    <xf numFmtId="164" fontId="0" fillId="0" borderId="0" xfId="2" applyFont="1"/>
    <xf numFmtId="164" fontId="0" fillId="0" borderId="27" xfId="2" applyFont="1" applyBorder="1"/>
    <xf numFmtId="167" fontId="0" fillId="0" borderId="31" xfId="0" applyNumberFormat="1" applyBorder="1"/>
    <xf numFmtId="0" fontId="0" fillId="0" borderId="2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3" fillId="0" borderId="37" xfId="0" applyFont="1" applyBorder="1" applyAlignment="1">
      <alignment horizontal="center"/>
    </xf>
    <xf numFmtId="164" fontId="4" fillId="0" borderId="9" xfId="2" applyFont="1" applyBorder="1" applyAlignment="1">
      <alignment horizontal="center"/>
    </xf>
    <xf numFmtId="172" fontId="0" fillId="0" borderId="0" xfId="0" applyNumberFormat="1"/>
    <xf numFmtId="0" fontId="0" fillId="4" borderId="13" xfId="0" applyFill="1" applyBorder="1" applyAlignment="1">
      <alignment horizontal="center"/>
    </xf>
    <xf numFmtId="173" fontId="0" fillId="0" borderId="0" xfId="0" applyNumberFormat="1" applyAlignment="1">
      <alignment horizontal="center"/>
    </xf>
  </cellXfs>
  <cellStyles count="3">
    <cellStyle name="Currency" xfId="2" builtinId="4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5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calcChain" Target="calcChain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'Question 4'!$C$10:$C$22</c:f>
              <c:numCache>
                <c:formatCode>General</c:formatCode>
                <c:ptCount val="13"/>
                <c:pt idx="0">
                  <c:v>2.71</c:v>
                </c:pt>
                <c:pt idx="1">
                  <c:v>3.12</c:v>
                </c:pt>
                <c:pt idx="2">
                  <c:v>3.39</c:v>
                </c:pt>
                <c:pt idx="3">
                  <c:v>3.71</c:v>
                </c:pt>
                <c:pt idx="4">
                  <c:v>4.47</c:v>
                </c:pt>
                <c:pt idx="5">
                  <c:v>4.5199999999999996</c:v>
                </c:pt>
                <c:pt idx="6">
                  <c:v>5.0199999999999996</c:v>
                </c:pt>
                <c:pt idx="7">
                  <c:v>4.88</c:v>
                </c:pt>
                <c:pt idx="8">
                  <c:v>5.0599999999999996</c:v>
                </c:pt>
                <c:pt idx="9">
                  <c:v>4.58</c:v>
                </c:pt>
                <c:pt idx="10">
                  <c:v>4.3899999999999997</c:v>
                </c:pt>
                <c:pt idx="11">
                  <c:v>3.27</c:v>
                </c:pt>
                <c:pt idx="12">
                  <c:v>2.2799999999999998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C-C34B-A1BB-D6247EEC2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85471"/>
        <c:axId val="145290239"/>
      </c:barChart>
      <c:catAx>
        <c:axId val="145385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90239"/>
        <c:crosses val="autoZero"/>
        <c:auto val="1"/>
        <c:lblAlgn val="ctr"/>
        <c:lblOffset val="100"/>
        <c:noMultiLvlLbl val="0"/>
      </c:catAx>
      <c:valAx>
        <c:axId val="14529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8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'Question 4'!$C$10:$C$22</c:f>
              <c:numCache>
                <c:formatCode>General</c:formatCode>
                <c:ptCount val="13"/>
                <c:pt idx="0">
                  <c:v>2.71</c:v>
                </c:pt>
                <c:pt idx="1">
                  <c:v>3.12</c:v>
                </c:pt>
                <c:pt idx="2">
                  <c:v>3.39</c:v>
                </c:pt>
                <c:pt idx="3">
                  <c:v>3.71</c:v>
                </c:pt>
                <c:pt idx="4">
                  <c:v>4.47</c:v>
                </c:pt>
                <c:pt idx="5">
                  <c:v>4.5199999999999996</c:v>
                </c:pt>
                <c:pt idx="6">
                  <c:v>5.0199999999999996</c:v>
                </c:pt>
                <c:pt idx="7">
                  <c:v>4.88</c:v>
                </c:pt>
                <c:pt idx="8">
                  <c:v>5.0599999999999996</c:v>
                </c:pt>
                <c:pt idx="9">
                  <c:v>4.58</c:v>
                </c:pt>
                <c:pt idx="10">
                  <c:v>4.3899999999999997</c:v>
                </c:pt>
                <c:pt idx="11">
                  <c:v>3.27</c:v>
                </c:pt>
                <c:pt idx="12">
                  <c:v>2.2799999999999998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0-1043-970F-B4F16359A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749695"/>
        <c:axId val="160061295"/>
      </c:barChart>
      <c:catAx>
        <c:axId val="145749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61295"/>
        <c:crosses val="autoZero"/>
        <c:auto val="1"/>
        <c:lblAlgn val="ctr"/>
        <c:lblOffset val="100"/>
        <c:noMultiLvlLbl val="0"/>
      </c:catAx>
      <c:valAx>
        <c:axId val="16006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4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F3034B-BF97-F540-A3B9-247C8F1BCFBF}">
  <sheetPr/>
  <sheetViews>
    <sheetView zoomScale="17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13803C-C136-604D-8953-26B347E4D0A9}">
  <sheetPr/>
  <sheetViews>
    <sheetView zoomScale="1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06" cy="606777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16C2B2-E03C-9D14-910C-2D64B1FBFB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06" cy="606777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C7572-D467-0E2D-CC86-351C62F6A5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ABA1-97B4-1F46-BE02-81D8D6E1E281}">
  <dimension ref="A1:C10"/>
  <sheetViews>
    <sheetView zoomScale="125" workbookViewId="0">
      <selection activeCell="B7" sqref="B7"/>
    </sheetView>
  </sheetViews>
  <sheetFormatPr baseColWidth="10" defaultRowHeight="16" x14ac:dyDescent="0.2"/>
  <cols>
    <col min="1" max="1" width="16.33203125" customWidth="1"/>
    <col min="2" max="2" width="17.1640625" customWidth="1"/>
    <col min="3" max="3" width="16.1640625" customWidth="1"/>
    <col min="5" max="5" width="18.5" bestFit="1" customWidth="1"/>
    <col min="6" max="6" width="16.33203125" bestFit="1" customWidth="1"/>
    <col min="10" max="10" width="12.6640625" bestFit="1" customWidth="1"/>
  </cols>
  <sheetData>
    <row r="1" spans="1:3" x14ac:dyDescent="0.2">
      <c r="A1" t="s">
        <v>24</v>
      </c>
    </row>
    <row r="2" spans="1:3" ht="17" thickBot="1" x14ac:dyDescent="0.25"/>
    <row r="3" spans="1:3" x14ac:dyDescent="0.2">
      <c r="A3" s="13"/>
      <c r="B3" s="31" t="s">
        <v>28</v>
      </c>
      <c r="C3" s="32" t="s">
        <v>29</v>
      </c>
    </row>
    <row r="4" spans="1:3" x14ac:dyDescent="0.2">
      <c r="A4" s="33" t="s">
        <v>25</v>
      </c>
      <c r="B4" s="27">
        <v>139661</v>
      </c>
      <c r="C4" s="34">
        <v>123700</v>
      </c>
    </row>
    <row r="5" spans="1:3" ht="17" thickBot="1" x14ac:dyDescent="0.25">
      <c r="A5" s="33" t="s">
        <v>26</v>
      </c>
      <c r="B5" s="27">
        <v>2129</v>
      </c>
      <c r="C5" s="34">
        <v>2178</v>
      </c>
    </row>
    <row r="6" spans="1:3" ht="17" thickBot="1" x14ac:dyDescent="0.25">
      <c r="A6" s="30" t="s">
        <v>27</v>
      </c>
      <c r="B6" s="70">
        <f>B5/B4</f>
        <v>1.5244055248064957E-2</v>
      </c>
      <c r="C6" s="71">
        <f>C5/C4</f>
        <v>1.7607113985448668E-2</v>
      </c>
    </row>
    <row r="10" spans="1:3" x14ac:dyDescent="0.2">
      <c r="B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8647-A92E-054B-A57B-01C285FA20A2}">
  <dimension ref="A1:F40"/>
  <sheetViews>
    <sheetView zoomScale="109" workbookViewId="0">
      <selection activeCell="C10" sqref="C10:C22"/>
    </sheetView>
  </sheetViews>
  <sheetFormatPr baseColWidth="10" defaultRowHeight="16" x14ac:dyDescent="0.2"/>
  <cols>
    <col min="1" max="1" width="17" bestFit="1" customWidth="1"/>
    <col min="2" max="2" width="15.33203125" bestFit="1" customWidth="1"/>
    <col min="3" max="3" width="13.1640625" customWidth="1"/>
    <col min="5" max="5" width="12.6640625" customWidth="1"/>
    <col min="6" max="7" width="12.1640625" bestFit="1" customWidth="1"/>
    <col min="8" max="8" width="9.5" customWidth="1"/>
    <col min="9" max="9" width="12.1640625" bestFit="1" customWidth="1"/>
    <col min="17" max="17" width="15.6640625" bestFit="1" customWidth="1"/>
  </cols>
  <sheetData>
    <row r="1" spans="1:6" x14ac:dyDescent="0.2">
      <c r="A1" t="s">
        <v>30</v>
      </c>
      <c r="F1" s="17"/>
    </row>
    <row r="2" spans="1:6" ht="17" thickBot="1" x14ac:dyDescent="0.25">
      <c r="A2" s="84" t="s">
        <v>31</v>
      </c>
    </row>
    <row r="3" spans="1:6" x14ac:dyDescent="0.2">
      <c r="A3" s="13" t="s">
        <v>35</v>
      </c>
      <c r="B3" s="82">
        <v>2.6499999999999999E-2</v>
      </c>
    </row>
    <row r="4" spans="1:6" x14ac:dyDescent="0.2">
      <c r="A4" s="14" t="s">
        <v>32</v>
      </c>
      <c r="B4" s="15">
        <v>0.71</v>
      </c>
    </row>
    <row r="5" spans="1:6" x14ac:dyDescent="0.2">
      <c r="A5" s="14" t="s">
        <v>33</v>
      </c>
      <c r="B5" s="57">
        <v>0.1298</v>
      </c>
    </row>
    <row r="6" spans="1:6" ht="17" thickBot="1" x14ac:dyDescent="0.25">
      <c r="A6" s="16" t="s">
        <v>34</v>
      </c>
      <c r="B6" s="83">
        <f>B3+B4*(B5-B3)</f>
        <v>9.9842999999999987E-2</v>
      </c>
    </row>
    <row r="7" spans="1:6" x14ac:dyDescent="0.2">
      <c r="A7" s="17"/>
      <c r="B7" s="29"/>
    </row>
    <row r="8" spans="1:6" ht="17" thickBot="1" x14ac:dyDescent="0.25">
      <c r="A8" s="84" t="s">
        <v>41</v>
      </c>
    </row>
    <row r="9" spans="1:6" ht="17" thickBot="1" x14ac:dyDescent="0.25">
      <c r="A9" s="96" t="s">
        <v>61</v>
      </c>
      <c r="B9" s="96" t="s">
        <v>47</v>
      </c>
      <c r="C9" s="96" t="s">
        <v>48</v>
      </c>
      <c r="D9" s="95" t="s">
        <v>42</v>
      </c>
    </row>
    <row r="10" spans="1:6" x14ac:dyDescent="0.2">
      <c r="A10" s="97">
        <v>2007</v>
      </c>
      <c r="B10" s="97">
        <v>0.67</v>
      </c>
      <c r="C10" s="97">
        <v>2.71</v>
      </c>
      <c r="D10" s="93">
        <v>36.299999999999997</v>
      </c>
    </row>
    <row r="11" spans="1:6" x14ac:dyDescent="0.2">
      <c r="A11" s="97">
        <v>2008</v>
      </c>
      <c r="B11" s="97">
        <v>0.88</v>
      </c>
      <c r="C11" s="97">
        <v>3.12</v>
      </c>
      <c r="D11" s="93">
        <v>37.979999999999997</v>
      </c>
    </row>
    <row r="12" spans="1:6" x14ac:dyDescent="0.2">
      <c r="A12" s="97">
        <v>2009</v>
      </c>
      <c r="B12" s="97">
        <v>0.95</v>
      </c>
      <c r="C12" s="97">
        <v>3.39</v>
      </c>
      <c r="D12" s="93">
        <v>38.36</v>
      </c>
    </row>
    <row r="13" spans="1:6" x14ac:dyDescent="0.2">
      <c r="A13" s="97">
        <v>2010</v>
      </c>
      <c r="B13" s="97">
        <v>1.0900000000000001</v>
      </c>
      <c r="C13" s="97">
        <v>3.71</v>
      </c>
      <c r="D13" s="93">
        <v>43.04</v>
      </c>
    </row>
    <row r="14" spans="1:6" x14ac:dyDescent="0.2">
      <c r="A14" s="97">
        <v>2011</v>
      </c>
      <c r="B14" s="97">
        <v>1.21</v>
      </c>
      <c r="C14" s="97">
        <v>4.47</v>
      </c>
      <c r="D14" s="93">
        <v>42.33</v>
      </c>
    </row>
    <row r="15" spans="1:6" x14ac:dyDescent="0.2">
      <c r="A15" s="97">
        <v>2012</v>
      </c>
      <c r="B15" s="97">
        <v>1.46</v>
      </c>
      <c r="C15" s="97">
        <v>4.5199999999999996</v>
      </c>
      <c r="D15" s="93">
        <v>49.43</v>
      </c>
    </row>
    <row r="16" spans="1:6" x14ac:dyDescent="0.2">
      <c r="A16" s="97">
        <v>2013</v>
      </c>
      <c r="B16" s="97">
        <v>1.59</v>
      </c>
      <c r="C16" s="99">
        <v>5.0199999999999996</v>
      </c>
      <c r="D16" s="93">
        <v>60.68</v>
      </c>
    </row>
    <row r="17" spans="1:5" x14ac:dyDescent="0.2">
      <c r="A17" s="97">
        <v>2014</v>
      </c>
      <c r="B17" s="97">
        <v>1.88</v>
      </c>
      <c r="C17" s="97">
        <v>4.88</v>
      </c>
      <c r="D17" s="93">
        <v>65.61</v>
      </c>
    </row>
    <row r="18" spans="1:5" ht="17" thickBot="1" x14ac:dyDescent="0.25">
      <c r="A18" s="98">
        <v>2015</v>
      </c>
      <c r="B18" s="98">
        <v>1.92</v>
      </c>
      <c r="C18" s="98">
        <v>5.0599999999999996</v>
      </c>
      <c r="D18" s="94">
        <v>75.56</v>
      </c>
    </row>
    <row r="19" spans="1:5" x14ac:dyDescent="0.2">
      <c r="A19" s="72">
        <v>2016</v>
      </c>
      <c r="B19" s="73">
        <v>1.96</v>
      </c>
      <c r="C19" s="73">
        <v>4.58</v>
      </c>
      <c r="D19" s="74">
        <v>61.39</v>
      </c>
    </row>
    <row r="20" spans="1:5" x14ac:dyDescent="0.2">
      <c r="A20" s="75">
        <v>2017</v>
      </c>
      <c r="B20" s="67">
        <v>2</v>
      </c>
      <c r="C20" s="67">
        <v>4.3899999999999997</v>
      </c>
      <c r="D20" s="76">
        <v>67.540000000000006</v>
      </c>
    </row>
    <row r="21" spans="1:5" x14ac:dyDescent="0.2">
      <c r="A21" s="75">
        <v>2018</v>
      </c>
      <c r="B21" s="67">
        <v>2.04</v>
      </c>
      <c r="C21" s="67">
        <v>3.27</v>
      </c>
      <c r="D21" s="76">
        <v>87.92</v>
      </c>
    </row>
    <row r="22" spans="1:5" ht="17" thickBot="1" x14ac:dyDescent="0.25">
      <c r="A22" s="77">
        <v>2019</v>
      </c>
      <c r="B22" s="78">
        <v>2.08</v>
      </c>
      <c r="C22" s="78">
        <v>2.2799999999999998</v>
      </c>
      <c r="D22" s="79">
        <v>96.08</v>
      </c>
    </row>
    <row r="23" spans="1:5" ht="17" thickBot="1" x14ac:dyDescent="0.25"/>
    <row r="24" spans="1:5" x14ac:dyDescent="0.2">
      <c r="A24" s="35" t="s">
        <v>62</v>
      </c>
      <c r="B24" s="11"/>
      <c r="C24" s="36"/>
    </row>
    <row r="25" spans="1:5" x14ac:dyDescent="0.2">
      <c r="A25" s="75">
        <v>2016</v>
      </c>
      <c r="B25" s="8">
        <f>B19/C19</f>
        <v>0.42794759825327511</v>
      </c>
      <c r="C25" s="46">
        <f>1-B25</f>
        <v>0.57205240174672489</v>
      </c>
      <c r="D25">
        <f>18.1/100</f>
        <v>0.18100000000000002</v>
      </c>
    </row>
    <row r="26" spans="1:5" x14ac:dyDescent="0.2">
      <c r="A26" s="75">
        <v>2017</v>
      </c>
      <c r="B26" s="8">
        <f>B20/C20</f>
        <v>0.45558086560364469</v>
      </c>
      <c r="C26" s="46">
        <f>1-B26</f>
        <v>0.54441913439635536</v>
      </c>
      <c r="D26">
        <f>17.2/100</f>
        <v>0.17199999999999999</v>
      </c>
    </row>
    <row r="27" spans="1:5" x14ac:dyDescent="0.2">
      <c r="A27" s="75">
        <v>2018</v>
      </c>
      <c r="B27" s="8">
        <f>B21/C21</f>
        <v>0.62385321100917435</v>
      </c>
      <c r="C27" s="46">
        <f>1-B27</f>
        <v>0.37614678899082565</v>
      </c>
      <c r="D27">
        <f>12.7/100</f>
        <v>0.127</v>
      </c>
    </row>
    <row r="28" spans="1:5" ht="17" thickBot="1" x14ac:dyDescent="0.25">
      <c r="A28" s="77">
        <v>2019</v>
      </c>
      <c r="B28" s="10">
        <f>B22/C22</f>
        <v>0.91228070175438603</v>
      </c>
      <c r="C28" s="47">
        <f>1-B28</f>
        <v>8.7719298245613975E-2</v>
      </c>
      <c r="D28">
        <f>8.9/100</f>
        <v>8.900000000000001E-2</v>
      </c>
      <c r="E28">
        <f>AVERAGE(D25:D28)</f>
        <v>0.14224999999999999</v>
      </c>
    </row>
    <row r="29" spans="1:5" ht="17" thickBot="1" x14ac:dyDescent="0.25"/>
    <row r="30" spans="1:5" x14ac:dyDescent="0.2">
      <c r="A30" s="35" t="s">
        <v>49</v>
      </c>
      <c r="B30" s="36"/>
    </row>
    <row r="31" spans="1:5" x14ac:dyDescent="0.2">
      <c r="A31" s="75">
        <v>2016</v>
      </c>
      <c r="B31" s="80">
        <v>0.1</v>
      </c>
    </row>
    <row r="32" spans="1:5" x14ac:dyDescent="0.2">
      <c r="A32" s="75">
        <v>2017</v>
      </c>
      <c r="B32" s="80">
        <v>0.09</v>
      </c>
    </row>
    <row r="33" spans="1:2" x14ac:dyDescent="0.2">
      <c r="A33" s="75">
        <v>2018</v>
      </c>
      <c r="B33" s="80">
        <v>0.05</v>
      </c>
    </row>
    <row r="34" spans="1:2" ht="17" thickBot="1" x14ac:dyDescent="0.25">
      <c r="A34" s="77">
        <v>2019</v>
      </c>
      <c r="B34" s="81">
        <v>0.01</v>
      </c>
    </row>
    <row r="35" spans="1:2" ht="17" thickBot="1" x14ac:dyDescent="0.25"/>
    <row r="36" spans="1:2" x14ac:dyDescent="0.2">
      <c r="A36" s="35" t="s">
        <v>63</v>
      </c>
      <c r="B36" s="36"/>
    </row>
    <row r="37" spans="1:2" x14ac:dyDescent="0.2">
      <c r="A37" s="75">
        <v>2016</v>
      </c>
      <c r="B37" s="46">
        <f>(((B19)/D19)+E25)</f>
        <v>3.192702394526796E-2</v>
      </c>
    </row>
    <row r="38" spans="1:2" x14ac:dyDescent="0.2">
      <c r="A38" s="75">
        <v>2017</v>
      </c>
      <c r="B38" s="46">
        <f>(((B20)/D20)+E26)</f>
        <v>2.9612081729345572E-2</v>
      </c>
    </row>
    <row r="39" spans="1:2" x14ac:dyDescent="0.2">
      <c r="A39" s="75">
        <v>2018</v>
      </c>
      <c r="B39" s="46">
        <f>(((B21)/D21)+E27)</f>
        <v>2.3202911737943584E-2</v>
      </c>
    </row>
    <row r="40" spans="1:2" ht="17" thickBot="1" x14ac:dyDescent="0.25">
      <c r="A40" s="77">
        <v>2019</v>
      </c>
      <c r="B40" s="47">
        <f>(((B22)/D22)+E28)</f>
        <v>0.16389862614487927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3503-78A9-224D-8295-C6FD5187512B}">
  <dimension ref="A1:G26"/>
  <sheetViews>
    <sheetView topLeftCell="A4" zoomScale="133" workbookViewId="0">
      <selection activeCell="D24" sqref="D24"/>
    </sheetView>
  </sheetViews>
  <sheetFormatPr baseColWidth="10" defaultRowHeight="16" x14ac:dyDescent="0.2"/>
  <cols>
    <col min="1" max="1" width="18.5" bestFit="1" customWidth="1"/>
    <col min="2" max="2" width="15.6640625" bestFit="1" customWidth="1"/>
    <col min="3" max="3" width="13" customWidth="1"/>
    <col min="5" max="5" width="32.6640625" bestFit="1" customWidth="1"/>
    <col min="6" max="6" width="21.83203125" bestFit="1" customWidth="1"/>
    <col min="7" max="7" width="14" bestFit="1" customWidth="1"/>
  </cols>
  <sheetData>
    <row r="1" spans="1:7" x14ac:dyDescent="0.2">
      <c r="A1" t="s">
        <v>36</v>
      </c>
    </row>
    <row r="3" spans="1:7" x14ac:dyDescent="0.2">
      <c r="A3" s="12" t="s">
        <v>50</v>
      </c>
      <c r="B3" s="17"/>
      <c r="C3" s="17"/>
      <c r="D3" s="17"/>
      <c r="E3" s="17" t="s">
        <v>60</v>
      </c>
      <c r="F3" s="17"/>
    </row>
    <row r="4" spans="1:7" x14ac:dyDescent="0.2">
      <c r="A4" s="26" t="s">
        <v>54</v>
      </c>
      <c r="B4" s="17"/>
      <c r="C4" s="17"/>
      <c r="D4" s="17"/>
      <c r="E4" s="17"/>
      <c r="F4" s="17"/>
    </row>
    <row r="5" spans="1:7" ht="17" thickBot="1" x14ac:dyDescent="0.25">
      <c r="A5" s="17"/>
      <c r="B5" s="17"/>
      <c r="C5" s="17"/>
      <c r="D5" s="17"/>
      <c r="E5" s="18"/>
      <c r="F5" s="18" t="s">
        <v>28</v>
      </c>
    </row>
    <row r="6" spans="1:7" x14ac:dyDescent="0.2">
      <c r="A6" s="62" t="s">
        <v>22</v>
      </c>
      <c r="B6" s="32">
        <v>136.38</v>
      </c>
      <c r="C6" s="17"/>
      <c r="D6" s="17"/>
      <c r="E6" s="18" t="s">
        <v>25</v>
      </c>
      <c r="F6" s="19" t="s">
        <v>58</v>
      </c>
    </row>
    <row r="7" spans="1:7" x14ac:dyDescent="0.2">
      <c r="A7" s="63" t="s">
        <v>23</v>
      </c>
      <c r="B7" s="58">
        <v>3.5299999999999998E-2</v>
      </c>
      <c r="C7" s="21">
        <f>B7*2</f>
        <v>7.0599999999999996E-2</v>
      </c>
      <c r="D7" s="17"/>
      <c r="E7" s="18" t="s">
        <v>26</v>
      </c>
      <c r="F7" s="100">
        <v>2129000</v>
      </c>
      <c r="G7" s="90"/>
    </row>
    <row r="8" spans="1:7" x14ac:dyDescent="0.2">
      <c r="A8" s="63" t="s">
        <v>45</v>
      </c>
      <c r="B8" s="58">
        <v>0.27</v>
      </c>
      <c r="C8" s="22"/>
      <c r="D8" s="17"/>
      <c r="E8" s="18" t="s">
        <v>27</v>
      </c>
      <c r="F8" s="18">
        <v>1.5244054999999999E-2</v>
      </c>
    </row>
    <row r="9" spans="1:7" x14ac:dyDescent="0.2">
      <c r="A9" s="63" t="s">
        <v>46</v>
      </c>
      <c r="B9" s="58">
        <f>C7*(1-B8)</f>
        <v>5.1537999999999994E-2</v>
      </c>
      <c r="C9" s="17"/>
      <c r="D9" s="17"/>
      <c r="E9" s="18" t="s">
        <v>59</v>
      </c>
      <c r="F9" s="12">
        <f>F8*(1-0.21)</f>
        <v>1.204280345E-2</v>
      </c>
    </row>
    <row r="10" spans="1:7" x14ac:dyDescent="0.2">
      <c r="A10" s="63"/>
      <c r="B10" s="59"/>
      <c r="C10" s="17"/>
      <c r="D10" s="17"/>
      <c r="E10" s="12"/>
      <c r="F10" s="12"/>
    </row>
    <row r="11" spans="1:7" x14ac:dyDescent="0.2">
      <c r="A11" s="63" t="s">
        <v>43</v>
      </c>
      <c r="B11" s="60">
        <v>10000000</v>
      </c>
      <c r="C11" s="17"/>
      <c r="D11" s="17"/>
      <c r="E11" s="18" t="s">
        <v>56</v>
      </c>
      <c r="F11" s="23">
        <v>139661000</v>
      </c>
    </row>
    <row r="12" spans="1:7" x14ac:dyDescent="0.2">
      <c r="A12" s="63" t="s">
        <v>51</v>
      </c>
      <c r="B12" s="61">
        <f>B6*B11</f>
        <v>1363800000</v>
      </c>
      <c r="C12" s="17"/>
      <c r="D12" s="17"/>
      <c r="E12" s="18" t="s">
        <v>57</v>
      </c>
      <c r="F12" s="23">
        <v>79634000</v>
      </c>
      <c r="G12" s="101"/>
    </row>
    <row r="13" spans="1:7" x14ac:dyDescent="0.2">
      <c r="A13" s="63" t="s">
        <v>52</v>
      </c>
      <c r="B13" s="60">
        <v>79634000000</v>
      </c>
      <c r="C13" s="17"/>
      <c r="D13" s="17"/>
      <c r="E13" s="12"/>
      <c r="F13" s="23">
        <f>F11+F12</f>
        <v>219295000</v>
      </c>
    </row>
    <row r="14" spans="1:7" x14ac:dyDescent="0.2">
      <c r="A14" s="63" t="s">
        <v>44</v>
      </c>
      <c r="B14" s="61">
        <f>B12+B13</f>
        <v>80997800000</v>
      </c>
      <c r="C14" s="17"/>
      <c r="D14" s="17"/>
      <c r="E14" s="12" t="s">
        <v>53</v>
      </c>
      <c r="F14" s="67">
        <f>F11/F13</f>
        <v>0.63686358558106659</v>
      </c>
    </row>
    <row r="15" spans="1:7" x14ac:dyDescent="0.2">
      <c r="A15" s="63" t="s">
        <v>53</v>
      </c>
      <c r="B15" s="65">
        <f>B12/B14</f>
        <v>1.6837494351698443E-2</v>
      </c>
      <c r="C15" s="17"/>
      <c r="D15" s="17"/>
      <c r="E15" s="12" t="s">
        <v>39</v>
      </c>
      <c r="F15" s="67">
        <f>F12/F13</f>
        <v>0.36313641441893341</v>
      </c>
    </row>
    <row r="16" spans="1:7" ht="17" thickBot="1" x14ac:dyDescent="0.25">
      <c r="A16" s="64" t="s">
        <v>39</v>
      </c>
      <c r="B16" s="66">
        <f>B13/B14</f>
        <v>0.98316250564830154</v>
      </c>
      <c r="C16" s="17"/>
      <c r="D16" s="17"/>
      <c r="E16" s="12"/>
      <c r="F16" s="12"/>
    </row>
    <row r="17" spans="1:6" x14ac:dyDescent="0.2">
      <c r="A17" s="17"/>
      <c r="B17" s="17"/>
      <c r="C17" s="17"/>
      <c r="D17" s="17"/>
      <c r="E17" s="17"/>
      <c r="F17" s="17"/>
    </row>
    <row r="18" spans="1:6" x14ac:dyDescent="0.2">
      <c r="A18" s="24" t="s">
        <v>55</v>
      </c>
      <c r="B18" s="17"/>
      <c r="C18" s="17"/>
      <c r="D18" s="17"/>
      <c r="E18" s="24" t="s">
        <v>16</v>
      </c>
      <c r="F18" s="28">
        <f>(F9*F14+F15*B23)*100</f>
        <v>4.39262520104446</v>
      </c>
    </row>
    <row r="19" spans="1:6" x14ac:dyDescent="0.2">
      <c r="A19" s="17"/>
      <c r="B19" s="17"/>
      <c r="C19" s="17"/>
      <c r="D19" s="17"/>
      <c r="E19" s="17"/>
      <c r="F19" s="17"/>
    </row>
    <row r="20" spans="1:6" x14ac:dyDescent="0.2">
      <c r="A20" s="12" t="s">
        <v>35</v>
      </c>
      <c r="B20" s="25">
        <v>2.6499999999999999E-2</v>
      </c>
      <c r="C20" s="17"/>
      <c r="D20" s="17"/>
      <c r="E20" s="17"/>
      <c r="F20" s="17"/>
    </row>
    <row r="21" spans="1:6" x14ac:dyDescent="0.2">
      <c r="A21" s="12" t="s">
        <v>32</v>
      </c>
      <c r="B21" s="12">
        <v>0.71</v>
      </c>
      <c r="C21" s="17"/>
      <c r="D21" s="17"/>
      <c r="E21" s="17"/>
      <c r="F21" s="17"/>
    </row>
    <row r="22" spans="1:6" x14ac:dyDescent="0.2">
      <c r="A22" s="12" t="s">
        <v>33</v>
      </c>
      <c r="B22" s="20">
        <v>0.1298</v>
      </c>
      <c r="C22" s="103">
        <f>B22-B20</f>
        <v>0.1033</v>
      </c>
      <c r="D22" s="17"/>
      <c r="E22" s="17"/>
      <c r="F22" s="17"/>
    </row>
    <row r="23" spans="1:6" x14ac:dyDescent="0.2">
      <c r="A23" s="12" t="s">
        <v>34</v>
      </c>
      <c r="B23" s="20">
        <f>B20+B21*(B22-B20)</f>
        <v>9.9842999999999987E-2</v>
      </c>
      <c r="C23" s="17"/>
      <c r="D23" s="17"/>
      <c r="E23" s="17"/>
      <c r="F23" s="17"/>
    </row>
    <row r="24" spans="1:6" x14ac:dyDescent="0.2">
      <c r="A24" s="17"/>
      <c r="B24" s="17"/>
      <c r="C24" s="17"/>
      <c r="D24" s="17"/>
      <c r="E24" s="17"/>
      <c r="F24" s="17"/>
    </row>
    <row r="25" spans="1:6" x14ac:dyDescent="0.2">
      <c r="A25" s="17"/>
      <c r="B25" s="17"/>
      <c r="C25" s="17"/>
      <c r="D25" s="17"/>
      <c r="E25" s="17"/>
      <c r="F25" s="17"/>
    </row>
    <row r="26" spans="1:6" x14ac:dyDescent="0.2">
      <c r="A26" s="24" t="s">
        <v>16</v>
      </c>
      <c r="B26" s="28">
        <f>(B15*B9)+(B16*B23)*100</f>
        <v>9.8170571759282339</v>
      </c>
      <c r="C26" s="17"/>
      <c r="D26" s="17"/>
      <c r="E26" s="17"/>
      <c r="F26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6F19-90E0-9F4F-AA2A-A1D22E038EE7}">
  <dimension ref="A1:C31"/>
  <sheetViews>
    <sheetView tabSelected="1" zoomScaleNormal="100" workbookViewId="0">
      <selection activeCell="F15" sqref="F15"/>
    </sheetView>
  </sheetViews>
  <sheetFormatPr baseColWidth="10" defaultRowHeight="16" x14ac:dyDescent="0.2"/>
  <cols>
    <col min="1" max="1" width="25.6640625" customWidth="1"/>
    <col min="2" max="2" width="23.1640625" customWidth="1"/>
    <col min="3" max="3" width="15.6640625" bestFit="1" customWidth="1"/>
    <col min="6" max="6" width="20.6640625" bestFit="1" customWidth="1"/>
  </cols>
  <sheetData>
    <row r="1" spans="1:3" x14ac:dyDescent="0.2">
      <c r="A1" t="s">
        <v>2</v>
      </c>
    </row>
    <row r="2" spans="1:3" x14ac:dyDescent="0.2">
      <c r="B2" t="s">
        <v>0</v>
      </c>
    </row>
    <row r="3" spans="1:3" ht="17" thickBot="1" x14ac:dyDescent="0.25"/>
    <row r="4" spans="1:3" ht="17" thickBot="1" x14ac:dyDescent="0.25">
      <c r="A4" s="38" t="s">
        <v>18</v>
      </c>
      <c r="B4" s="102" t="s">
        <v>17</v>
      </c>
    </row>
    <row r="5" spans="1:3" x14ac:dyDescent="0.2">
      <c r="A5" s="39" t="s">
        <v>3</v>
      </c>
      <c r="B5" s="55">
        <v>1994000</v>
      </c>
    </row>
    <row r="6" spans="1:3" x14ac:dyDescent="0.2">
      <c r="A6" s="40" t="s">
        <v>20</v>
      </c>
      <c r="B6" s="43">
        <v>57323000</v>
      </c>
    </row>
    <row r="7" spans="1:3" x14ac:dyDescent="0.2">
      <c r="A7" s="40" t="s">
        <v>4</v>
      </c>
      <c r="B7" s="44">
        <f>B5/B6</f>
        <v>3.4785339218114893E-2</v>
      </c>
    </row>
    <row r="8" spans="1:3" x14ac:dyDescent="0.2">
      <c r="A8" s="40" t="s">
        <v>5</v>
      </c>
      <c r="B8" s="43">
        <v>4756000</v>
      </c>
    </row>
    <row r="9" spans="1:3" x14ac:dyDescent="0.2">
      <c r="A9" s="40" t="s">
        <v>6</v>
      </c>
      <c r="B9" s="91">
        <v>18696000</v>
      </c>
      <c r="C9" s="90"/>
    </row>
    <row r="10" spans="1:3" ht="17" thickBot="1" x14ac:dyDescent="0.25">
      <c r="A10" s="41" t="s">
        <v>19</v>
      </c>
      <c r="B10" s="92">
        <f>B8/B9</f>
        <v>0.25438596491228072</v>
      </c>
    </row>
    <row r="11" spans="1:3" ht="17" thickBot="1" x14ac:dyDescent="0.25">
      <c r="A11" s="38" t="s">
        <v>7</v>
      </c>
      <c r="B11" s="68">
        <f>B7*(1-B10)</f>
        <v>2.5936437136313734E-2</v>
      </c>
    </row>
    <row r="12" spans="1:3" x14ac:dyDescent="0.2">
      <c r="B12" s="9"/>
    </row>
    <row r="13" spans="1:3" x14ac:dyDescent="0.2">
      <c r="B13" s="9"/>
    </row>
    <row r="14" spans="1:3" ht="17" thickBot="1" x14ac:dyDescent="0.25">
      <c r="B14" s="9"/>
    </row>
    <row r="15" spans="1:3" ht="17" thickBot="1" x14ac:dyDescent="0.25">
      <c r="A15" s="38" t="s">
        <v>8</v>
      </c>
      <c r="B15" s="42"/>
    </row>
    <row r="16" spans="1:3" x14ac:dyDescent="0.2">
      <c r="A16" s="39" t="s">
        <v>9</v>
      </c>
      <c r="B16" s="48">
        <v>3.6799999999999999E-2</v>
      </c>
    </row>
    <row r="17" spans="1:2" x14ac:dyDescent="0.2">
      <c r="A17" s="40" t="s">
        <v>10</v>
      </c>
      <c r="B17" s="49">
        <v>0.53</v>
      </c>
    </row>
    <row r="18" spans="1:2" x14ac:dyDescent="0.2">
      <c r="A18" s="40" t="s">
        <v>11</v>
      </c>
      <c r="B18" s="50">
        <v>0.10100000000000001</v>
      </c>
    </row>
    <row r="19" spans="1:2" ht="17" thickBot="1" x14ac:dyDescent="0.25">
      <c r="A19" s="41" t="s">
        <v>71</v>
      </c>
      <c r="B19" s="51">
        <f>B18-B16</f>
        <v>6.4200000000000007E-2</v>
      </c>
    </row>
    <row r="20" spans="1:2" ht="17" thickBot="1" x14ac:dyDescent="0.25">
      <c r="A20" s="38" t="s">
        <v>8</v>
      </c>
      <c r="B20" s="69">
        <f>(B16)+((B17)*(B18-B16))</f>
        <v>7.0826E-2</v>
      </c>
    </row>
    <row r="22" spans="1:2" ht="17" thickBot="1" x14ac:dyDescent="0.25"/>
    <row r="23" spans="1:2" ht="17" thickBot="1" x14ac:dyDescent="0.25">
      <c r="A23" s="54" t="s">
        <v>12</v>
      </c>
      <c r="B23" s="54"/>
    </row>
    <row r="24" spans="1:2" x14ac:dyDescent="0.2">
      <c r="A24" s="52" t="s">
        <v>13</v>
      </c>
      <c r="B24" s="55">
        <f>B6</f>
        <v>57323000</v>
      </c>
    </row>
    <row r="25" spans="1:2" x14ac:dyDescent="0.2">
      <c r="A25" s="40" t="s">
        <v>14</v>
      </c>
      <c r="B25" s="43">
        <v>38632000000</v>
      </c>
    </row>
    <row r="26" spans="1:2" x14ac:dyDescent="0.2">
      <c r="A26" s="40" t="s">
        <v>15</v>
      </c>
      <c r="B26" s="43">
        <f>B24+B25</f>
        <v>38689323000</v>
      </c>
    </row>
    <row r="27" spans="1:2" x14ac:dyDescent="0.2">
      <c r="A27" s="40" t="s">
        <v>66</v>
      </c>
      <c r="B27" s="44">
        <f>B24/B26</f>
        <v>1.4816232375014678E-3</v>
      </c>
    </row>
    <row r="28" spans="1:2" x14ac:dyDescent="0.2">
      <c r="A28" s="40"/>
      <c r="B28" s="53"/>
    </row>
    <row r="29" spans="1:2" x14ac:dyDescent="0.2">
      <c r="A29" s="40" t="s">
        <v>67</v>
      </c>
      <c r="B29" s="44">
        <f>B25/B26</f>
        <v>0.99851837676249855</v>
      </c>
    </row>
    <row r="30" spans="1:2" ht="17" thickBot="1" x14ac:dyDescent="0.25">
      <c r="A30" s="41"/>
      <c r="B30" s="56"/>
    </row>
    <row r="31" spans="1:2" ht="17" thickBot="1" x14ac:dyDescent="0.25">
      <c r="A31" s="38" t="s">
        <v>16</v>
      </c>
      <c r="B31" s="68">
        <f>(B27*B11)+(B29*B20)*100</f>
        <v>7.0721446832860311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6006-22AD-5746-86D7-7FB5B0683751}">
  <dimension ref="A1:C19"/>
  <sheetViews>
    <sheetView zoomScale="125" workbookViewId="0">
      <selection activeCell="D23" sqref="D23"/>
    </sheetView>
  </sheetViews>
  <sheetFormatPr baseColWidth="10" defaultRowHeight="16" x14ac:dyDescent="0.2"/>
  <cols>
    <col min="1" max="1" width="15.83203125" bestFit="1" customWidth="1"/>
    <col min="2" max="2" width="20.6640625" bestFit="1" customWidth="1"/>
    <col min="3" max="3" width="12.1640625" bestFit="1" customWidth="1"/>
  </cols>
  <sheetData>
    <row r="1" spans="1:3" ht="17" thickBot="1" x14ac:dyDescent="0.25"/>
    <row r="2" spans="1:3" ht="17" thickBot="1" x14ac:dyDescent="0.25">
      <c r="A2" s="7" t="s">
        <v>40</v>
      </c>
      <c r="B2" s="37"/>
    </row>
    <row r="3" spans="1:3" x14ac:dyDescent="0.2">
      <c r="A3" s="5" t="s">
        <v>22</v>
      </c>
      <c r="B3" s="89">
        <v>111.85</v>
      </c>
    </row>
    <row r="4" spans="1:3" x14ac:dyDescent="0.2">
      <c r="A4" s="2" t="s">
        <v>21</v>
      </c>
      <c r="B4" s="46">
        <v>99.7</v>
      </c>
    </row>
    <row r="5" spans="1:3" x14ac:dyDescent="0.2">
      <c r="A5" s="2" t="s">
        <v>64</v>
      </c>
      <c r="B5" s="46">
        <v>6.2E-2</v>
      </c>
    </row>
    <row r="6" spans="1:3" x14ac:dyDescent="0.2">
      <c r="A6" s="2" t="s">
        <v>65</v>
      </c>
      <c r="B6" s="46">
        <f>(B5*B4)/2</f>
        <v>3.0907</v>
      </c>
    </row>
    <row r="7" spans="1:3" ht="17" thickBot="1" x14ac:dyDescent="0.25">
      <c r="A7" s="2" t="s">
        <v>37</v>
      </c>
      <c r="B7" s="46">
        <v>32</v>
      </c>
    </row>
    <row r="8" spans="1:3" ht="17" thickBot="1" x14ac:dyDescent="0.25">
      <c r="A8" s="2" t="s">
        <v>23</v>
      </c>
      <c r="B8" s="45">
        <f>RATE(B7,B6,-B3,B4,0)</f>
        <v>2.5391648100218905E-2</v>
      </c>
      <c r="C8" s="88">
        <f>B8*2</f>
        <v>5.0783296200437811E-2</v>
      </c>
    </row>
    <row r="9" spans="1:3" x14ac:dyDescent="0.2">
      <c r="A9" s="2" t="s">
        <v>38</v>
      </c>
      <c r="B9" s="85">
        <f>150000000/100</f>
        <v>1500000</v>
      </c>
    </row>
    <row r="10" spans="1:3" x14ac:dyDescent="0.2">
      <c r="A10" s="2" t="s">
        <v>69</v>
      </c>
      <c r="B10" s="4">
        <v>0.25438596491228072</v>
      </c>
    </row>
    <row r="11" spans="1:3" x14ac:dyDescent="0.2">
      <c r="A11" s="2" t="s">
        <v>70</v>
      </c>
      <c r="B11" s="46">
        <f>C8*(1-B10)</f>
        <v>3.7864738395063283E-2</v>
      </c>
    </row>
    <row r="12" spans="1:3" x14ac:dyDescent="0.2">
      <c r="A12" s="2" t="s">
        <v>8</v>
      </c>
      <c r="B12" s="46">
        <v>7.0826E-2</v>
      </c>
    </row>
    <row r="13" spans="1:3" x14ac:dyDescent="0.2">
      <c r="A13" s="2" t="s">
        <v>1</v>
      </c>
      <c r="B13" s="3">
        <f>B9*B4</f>
        <v>149550000</v>
      </c>
    </row>
    <row r="14" spans="1:3" x14ac:dyDescent="0.2">
      <c r="A14" s="2" t="s">
        <v>57</v>
      </c>
      <c r="B14" s="3">
        <v>38632000000</v>
      </c>
    </row>
    <row r="15" spans="1:3" x14ac:dyDescent="0.2">
      <c r="A15" s="2" t="s">
        <v>44</v>
      </c>
      <c r="B15" s="3">
        <f>B13+B14</f>
        <v>38781550000</v>
      </c>
    </row>
    <row r="16" spans="1:3" x14ac:dyDescent="0.2">
      <c r="A16" s="2" t="s">
        <v>68</v>
      </c>
      <c r="B16" s="46">
        <f>B13/B15</f>
        <v>3.8562151332270111E-3</v>
      </c>
    </row>
    <row r="17" spans="1:2" x14ac:dyDescent="0.2">
      <c r="A17" s="2" t="s">
        <v>67</v>
      </c>
      <c r="B17" s="46">
        <f>B14/B15</f>
        <v>0.99614378486677302</v>
      </c>
    </row>
    <row r="18" spans="1:2" ht="17" thickBot="1" x14ac:dyDescent="0.25">
      <c r="A18" s="6"/>
      <c r="B18" s="86"/>
    </row>
    <row r="19" spans="1:2" ht="17" thickBot="1" x14ac:dyDescent="0.25">
      <c r="A19" s="7" t="s">
        <v>16</v>
      </c>
      <c r="B19" s="87">
        <f>(B16*B11)+(B17*B12)*100</f>
        <v>7.0554339852746208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</vt:vector>
  </HeadingPairs>
  <TitlesOfParts>
    <vt:vector size="7" baseType="lpstr">
      <vt:lpstr>Question 2</vt:lpstr>
      <vt:lpstr>Question 4</vt:lpstr>
      <vt:lpstr>Question 5</vt:lpstr>
      <vt:lpstr>Question 6A</vt:lpstr>
      <vt:lpstr>Question 6B</vt:lpstr>
      <vt:lpstr>Chart2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2022-11-29T21:57:53Z</dcterms:created>
  <dcterms:modified xsi:type="dcterms:W3CDTF">2022-12-02T19:43:41Z</dcterms:modified>
</cp:coreProperties>
</file>